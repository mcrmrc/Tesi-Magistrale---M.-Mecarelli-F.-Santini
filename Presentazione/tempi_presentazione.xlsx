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arco\Desktop\Tesi Bella\Tesi-Magistrale---M.-Mecarelli-F.-Santini\Presentazione\"/>
    </mc:Choice>
  </mc:AlternateContent>
  <xr:revisionPtr revIDLastSave="0" documentId="13_ncr:1_{ABB53E6D-8C71-4C3B-A958-FF00903F8273}" xr6:coauthVersionLast="47" xr6:coauthVersionMax="47" xr10:uidLastSave="{00000000-0000-0000-0000-000000000000}"/>
  <bookViews>
    <workbookView xWindow="12000" yWindow="0" windowWidth="12000" windowHeight="129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7" i="1" l="1"/>
  <c r="P26" i="1"/>
  <c r="O26" i="1"/>
  <c r="F20" i="1"/>
  <c r="F22" i="1" s="1"/>
  <c r="G20" i="1" s="1"/>
  <c r="F3" i="1"/>
  <c r="E3" i="1"/>
  <c r="E4" i="1" s="1"/>
  <c r="F21" i="1" l="1"/>
</calcChain>
</file>

<file path=xl/sharedStrings.xml><?xml version="1.0" encoding="utf-8"?>
<sst xmlns="http://schemas.openxmlformats.org/spreadsheetml/2006/main" count="38" uniqueCount="30">
  <si>
    <t>minuti</t>
  </si>
  <si>
    <t>secondi</t>
  </si>
  <si>
    <t>Tempo totale</t>
  </si>
  <si>
    <t>min dai sec</t>
  </si>
  <si>
    <t>Intro</t>
  </si>
  <si>
    <t>ICMP</t>
  </si>
  <si>
    <t>Tipologie CC</t>
  </si>
  <si>
    <t>Implementaizone</t>
  </si>
  <si>
    <t>Attaccante</t>
  </si>
  <si>
    <t>Vittima</t>
  </si>
  <si>
    <t>Timing CC</t>
  </si>
  <si>
    <t>Storage CC</t>
  </si>
  <si>
    <t>Strumenti (3 min)</t>
  </si>
  <si>
    <t>Behave CC</t>
  </si>
  <si>
    <t>Conclusioni finali</t>
  </si>
  <si>
    <t>Covert Channel</t>
  </si>
  <si>
    <t>Proxy</t>
  </si>
  <si>
    <t>Test</t>
  </si>
  <si>
    <t>OLD TESI BELLA V1</t>
  </si>
  <si>
    <t>Introduzione</t>
  </si>
  <si>
    <t>Timing Covert Channel</t>
  </si>
  <si>
    <t>Storage Covert Channel</t>
  </si>
  <si>
    <t>Behavioural Covert Channel</t>
  </si>
  <si>
    <t>Test e Risultati</t>
  </si>
  <si>
    <t>6:44.71</t>
  </si>
  <si>
    <t>Introi+Imple</t>
  </si>
  <si>
    <t>Covert</t>
  </si>
  <si>
    <t>Totale</t>
  </si>
  <si>
    <t>Implementazione</t>
  </si>
  <si>
    <t>TESI BELLA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</si>
</sst>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2" borderId="0" xfId="0" applyFont="1" applyFill="1" applyAlignment="1">
      <alignment horizontal="center"/>
    </xf>
    <xf numFmtId="0" fontId="0" fillId="0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abSelected="1" topLeftCell="A12" workbookViewId="0">
      <selection activeCell="C29" sqref="C29"/>
    </sheetView>
  </sheetViews>
  <sheetFormatPr defaultRowHeight="15" x14ac:dyDescent="0.25"/>
  <sheetData>
    <row r="1" spans="1:6" x14ac:dyDescent="0.25">
      <c r="A1" s="3" t="s">
        <v>18</v>
      </c>
      <c r="B1" s="3"/>
      <c r="C1" s="3"/>
      <c r="D1" s="3"/>
    </row>
    <row r="2" spans="1:6" x14ac:dyDescent="0.25">
      <c r="A2" t="s">
        <v>0</v>
      </c>
      <c r="B2" t="s">
        <v>1</v>
      </c>
      <c r="E2" t="s">
        <v>3</v>
      </c>
      <c r="F2" t="s">
        <v>2</v>
      </c>
    </row>
    <row r="3" spans="1:6" x14ac:dyDescent="0.25">
      <c r="A3">
        <v>0</v>
      </c>
      <c r="B3">
        <v>48</v>
      </c>
      <c r="C3" t="s">
        <v>4</v>
      </c>
      <c r="E3">
        <f>SUM($B3:$B16)</f>
        <v>449</v>
      </c>
      <c r="F3" s="1">
        <f>SUM($A3:$A16)+$E4</f>
        <v>30</v>
      </c>
    </row>
    <row r="4" spans="1:6" x14ac:dyDescent="0.25">
      <c r="A4">
        <v>0</v>
      </c>
      <c r="B4">
        <v>31</v>
      </c>
      <c r="C4" t="s">
        <v>5</v>
      </c>
      <c r="E4">
        <f>_xlfn.FLOOR.MATH(E3/60)</f>
        <v>7</v>
      </c>
    </row>
    <row r="5" spans="1:6" x14ac:dyDescent="0.25">
      <c r="A5">
        <v>1</v>
      </c>
      <c r="B5">
        <v>0</v>
      </c>
      <c r="C5" t="s">
        <v>15</v>
      </c>
    </row>
    <row r="6" spans="1:6" x14ac:dyDescent="0.25">
      <c r="A6">
        <v>0</v>
      </c>
      <c r="B6">
        <v>49</v>
      </c>
      <c r="C6" t="s">
        <v>6</v>
      </c>
    </row>
    <row r="7" spans="1:6" x14ac:dyDescent="0.25">
      <c r="A7">
        <v>0</v>
      </c>
      <c r="B7">
        <v>0</v>
      </c>
      <c r="C7" t="s">
        <v>12</v>
      </c>
    </row>
    <row r="8" spans="1:6" x14ac:dyDescent="0.25">
      <c r="A8">
        <v>1</v>
      </c>
      <c r="B8">
        <v>20</v>
      </c>
      <c r="C8" t="s">
        <v>8</v>
      </c>
    </row>
    <row r="9" spans="1:6" x14ac:dyDescent="0.25">
      <c r="A9">
        <v>1</v>
      </c>
      <c r="B9">
        <v>35</v>
      </c>
      <c r="C9" t="s">
        <v>16</v>
      </c>
    </row>
    <row r="10" spans="1:6" x14ac:dyDescent="0.25">
      <c r="A10">
        <v>1</v>
      </c>
      <c r="B10">
        <v>12</v>
      </c>
      <c r="C10" t="s">
        <v>9</v>
      </c>
    </row>
    <row r="11" spans="1:6" x14ac:dyDescent="0.25">
      <c r="A11">
        <v>0</v>
      </c>
      <c r="B11">
        <v>55</v>
      </c>
      <c r="C11" t="s">
        <v>7</v>
      </c>
    </row>
    <row r="12" spans="1:6" x14ac:dyDescent="0.25">
      <c r="A12">
        <v>4</v>
      </c>
      <c r="B12">
        <v>55</v>
      </c>
      <c r="C12" t="s">
        <v>10</v>
      </c>
    </row>
    <row r="13" spans="1:6" x14ac:dyDescent="0.25">
      <c r="A13">
        <v>6</v>
      </c>
      <c r="B13">
        <v>22</v>
      </c>
      <c r="C13" t="s">
        <v>11</v>
      </c>
    </row>
    <row r="14" spans="1:6" x14ac:dyDescent="0.25">
      <c r="A14">
        <v>1</v>
      </c>
      <c r="B14">
        <v>56</v>
      </c>
      <c r="C14" t="s">
        <v>13</v>
      </c>
    </row>
    <row r="15" spans="1:6" x14ac:dyDescent="0.25">
      <c r="A15">
        <v>6</v>
      </c>
      <c r="B15">
        <v>16</v>
      </c>
      <c r="C15" t="s">
        <v>17</v>
      </c>
    </row>
    <row r="16" spans="1:6" x14ac:dyDescent="0.25">
      <c r="A16">
        <v>2</v>
      </c>
      <c r="B16">
        <v>50</v>
      </c>
      <c r="C16" t="s">
        <v>14</v>
      </c>
    </row>
    <row r="18" spans="1:16" x14ac:dyDescent="0.25">
      <c r="A18" s="3" t="s">
        <v>29</v>
      </c>
      <c r="B18" s="3"/>
      <c r="C18" s="3"/>
      <c r="D18" s="3"/>
    </row>
    <row r="19" spans="1:16" x14ac:dyDescent="0.25">
      <c r="A19" t="s">
        <v>0</v>
      </c>
      <c r="B19" t="s">
        <v>1</v>
      </c>
      <c r="F19" t="s">
        <v>3</v>
      </c>
      <c r="G19" t="s">
        <v>2</v>
      </c>
    </row>
    <row r="20" spans="1:16" x14ac:dyDescent="0.25">
      <c r="A20">
        <v>1</v>
      </c>
      <c r="B20">
        <v>45</v>
      </c>
      <c r="C20" t="s">
        <v>19</v>
      </c>
      <c r="F20">
        <f>SUM($B20:$B33)</f>
        <v>261</v>
      </c>
      <c r="G20" s="1">
        <f>SUM($A20:$A29)+$F22</f>
        <v>15.35</v>
      </c>
      <c r="I20" s="4"/>
    </row>
    <row r="21" spans="1:16" x14ac:dyDescent="0.25">
      <c r="A21">
        <v>2</v>
      </c>
      <c r="B21">
        <v>5</v>
      </c>
      <c r="C21" t="s">
        <v>28</v>
      </c>
      <c r="F21">
        <f>_xlfn.CEILING.MATH(F20/60)</f>
        <v>5</v>
      </c>
      <c r="I21" s="4"/>
    </row>
    <row r="22" spans="1:16" x14ac:dyDescent="0.25">
      <c r="A22">
        <v>1</v>
      </c>
      <c r="B22">
        <v>19</v>
      </c>
      <c r="C22" t="s">
        <v>8</v>
      </c>
      <c r="F22">
        <f>F20/60</f>
        <v>4.3499999999999996</v>
      </c>
      <c r="I22" s="4"/>
      <c r="M22" t="s">
        <v>24</v>
      </c>
    </row>
    <row r="23" spans="1:16" x14ac:dyDescent="0.25">
      <c r="B23">
        <v>31</v>
      </c>
      <c r="C23" t="s">
        <v>16</v>
      </c>
      <c r="I23" s="4"/>
      <c r="N23" t="s">
        <v>25</v>
      </c>
      <c r="O23" s="2">
        <v>7</v>
      </c>
      <c r="P23">
        <v>50</v>
      </c>
    </row>
    <row r="24" spans="1:16" x14ac:dyDescent="0.25">
      <c r="B24">
        <v>38</v>
      </c>
      <c r="C24" t="s">
        <v>9</v>
      </c>
      <c r="I24" s="4"/>
      <c r="N24" t="s">
        <v>26</v>
      </c>
    </row>
    <row r="25" spans="1:16" x14ac:dyDescent="0.25">
      <c r="A25">
        <v>2</v>
      </c>
      <c r="B25">
        <v>11</v>
      </c>
      <c r="C25" t="s">
        <v>20</v>
      </c>
      <c r="I25" s="4"/>
      <c r="N25" t="s">
        <v>17</v>
      </c>
    </row>
    <row r="26" spans="1:16" x14ac:dyDescent="0.25">
      <c r="A26">
        <v>2</v>
      </c>
      <c r="B26">
        <v>52</v>
      </c>
      <c r="C26" t="s">
        <v>21</v>
      </c>
      <c r="I26" s="4"/>
      <c r="O26" s="2">
        <f>SUM(O23:O25)</f>
        <v>7</v>
      </c>
      <c r="P26" s="2">
        <f>SUM(P23:P25)</f>
        <v>50</v>
      </c>
    </row>
    <row r="27" spans="1:16" x14ac:dyDescent="0.25">
      <c r="A27">
        <v>1</v>
      </c>
      <c r="B27">
        <v>6</v>
      </c>
      <c r="C27" t="s">
        <v>22</v>
      </c>
      <c r="I27" s="4"/>
      <c r="N27" t="s">
        <v>27</v>
      </c>
      <c r="O27" s="2">
        <f>O26+_xlfn.CEILING.MATH(P26/60)</f>
        <v>8</v>
      </c>
    </row>
    <row r="28" spans="1:16" x14ac:dyDescent="0.25">
      <c r="A28">
        <v>2</v>
      </c>
      <c r="B28">
        <v>54</v>
      </c>
      <c r="C28" t="s">
        <v>23</v>
      </c>
      <c r="I28" s="4"/>
    </row>
    <row r="29" spans="1:16" x14ac:dyDescent="0.25">
      <c r="I29" s="4"/>
    </row>
    <row r="30" spans="1:16" x14ac:dyDescent="0.25">
      <c r="I30" s="4"/>
    </row>
    <row r="31" spans="1:16" x14ac:dyDescent="0.25">
      <c r="I31" s="4"/>
    </row>
    <row r="32" spans="1:16" x14ac:dyDescent="0.25">
      <c r="I32" s="4"/>
    </row>
    <row r="33" spans="9:9" x14ac:dyDescent="0.25">
      <c r="I33" s="4"/>
    </row>
    <row r="34" spans="9:9" x14ac:dyDescent="0.25">
      <c r="I34" s="4"/>
    </row>
    <row r="35" spans="9:9" x14ac:dyDescent="0.25">
      <c r="I35" s="4"/>
    </row>
  </sheetData>
  <mergeCells count="2">
    <mergeCell ref="A1:D1"/>
    <mergeCell ref="A18:D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</dc:creator>
  <cp:lastModifiedBy>Marco Mecarelli</cp:lastModifiedBy>
  <dcterms:created xsi:type="dcterms:W3CDTF">2015-06-05T18:19:34Z</dcterms:created>
  <dcterms:modified xsi:type="dcterms:W3CDTF">2026-04-06T18:16:06Z</dcterms:modified>
</cp:coreProperties>
</file>